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 firstSheet="5" activeTab="5"/>
  </bookViews>
  <sheets>
    <sheet name="Question1" sheetId="1" r:id="rId1"/>
    <sheet name="Question2" sheetId="2" r:id="rId2"/>
    <sheet name="Question3" sheetId="3" r:id="rId3"/>
    <sheet name="Question4" sheetId="4" r:id="rId4"/>
    <sheet name="Question5" sheetId="5" r:id="rId5"/>
    <sheet name="Question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<sst xmlns="http://schemas.openxmlformats.org/spreadsheetml/2006/main" count="85" uniqueCount="78">
  <si>
    <t>Item</t>
  </si>
  <si>
    <t xml:space="preserve"> Cost Price</t>
  </si>
  <si>
    <t>Profit(20%)</t>
  </si>
  <si>
    <t>Selling Price</t>
  </si>
  <si>
    <t>Quantity Sold</t>
  </si>
  <si>
    <t>Total Profit</t>
  </si>
  <si>
    <t>Office Chair</t>
  </si>
  <si>
    <t>Office Desk</t>
  </si>
  <si>
    <t>Bookshelf</t>
  </si>
  <si>
    <t>Filing Cabinet</t>
  </si>
  <si>
    <t>Conference Table</t>
  </si>
  <si>
    <t>Office Stool</t>
  </si>
  <si>
    <t>Drawer Unit</t>
  </si>
  <si>
    <t>Whiteboard</t>
  </si>
  <si>
    <t>Overral total Profit</t>
  </si>
  <si>
    <t>Quantity</t>
  </si>
  <si>
    <t>Cost per item</t>
  </si>
  <si>
    <t>Total Cost</t>
  </si>
  <si>
    <t>VAT at 15%</t>
  </si>
  <si>
    <t>Final Cost</t>
  </si>
  <si>
    <t>Pens</t>
  </si>
  <si>
    <t>Notebooks</t>
  </si>
  <si>
    <t>Folders</t>
  </si>
  <si>
    <t>Staplers</t>
  </si>
  <si>
    <t>Highlighters</t>
  </si>
  <si>
    <t>Paper Reams</t>
  </si>
  <si>
    <t>Markers</t>
  </si>
  <si>
    <t>Correction Fluid</t>
  </si>
  <si>
    <t>Blue sticks</t>
  </si>
  <si>
    <t>Scissors</t>
  </si>
  <si>
    <t>Student No</t>
  </si>
  <si>
    <t>Student Name</t>
  </si>
  <si>
    <t>Maths</t>
  </si>
  <si>
    <t>Physics</t>
  </si>
  <si>
    <t>English</t>
  </si>
  <si>
    <t>Geography</t>
  </si>
  <si>
    <t>Total Marks</t>
  </si>
  <si>
    <t>Average Marks</t>
  </si>
  <si>
    <t>John</t>
  </si>
  <si>
    <t>Vusi</t>
  </si>
  <si>
    <t>Clara</t>
  </si>
  <si>
    <t>Linda</t>
  </si>
  <si>
    <t>Xavier</t>
  </si>
  <si>
    <t>Angel</t>
  </si>
  <si>
    <t>Sipho</t>
  </si>
  <si>
    <t>Moses</t>
  </si>
  <si>
    <t>Senzo</t>
  </si>
  <si>
    <t>Micheil</t>
  </si>
  <si>
    <t>Highest Mark per module</t>
  </si>
  <si>
    <t>Lowest Mark per module</t>
  </si>
  <si>
    <t>Mean per module</t>
  </si>
  <si>
    <t>Standard Deviation per module</t>
  </si>
  <si>
    <t>Programme</t>
  </si>
  <si>
    <t>Male Students</t>
  </si>
  <si>
    <t>Female Students</t>
  </si>
  <si>
    <t>Male:Female Ratio</t>
  </si>
  <si>
    <t>Female:Male Ratio</t>
  </si>
  <si>
    <t>%Male</t>
  </si>
  <si>
    <t>%Female</t>
  </si>
  <si>
    <t>Bcom Accounting</t>
  </si>
  <si>
    <t>Bcom Finance</t>
  </si>
  <si>
    <t>Bachelor of Education</t>
  </si>
  <si>
    <t>BSc Information Technology</t>
  </si>
  <si>
    <t>Bachelor of Law</t>
  </si>
  <si>
    <t>Original Price</t>
  </si>
  <si>
    <t>Discount(%)</t>
  </si>
  <si>
    <t>Discount Amount</t>
  </si>
  <si>
    <t>Selling Price after Discount</t>
  </si>
  <si>
    <t>Total Revenue</t>
  </si>
  <si>
    <t>Filling Cabinet</t>
  </si>
  <si>
    <t>Learning Method</t>
  </si>
  <si>
    <t>Students</t>
  </si>
  <si>
    <t>% of Students</t>
  </si>
  <si>
    <t xml:space="preserve">Video Lecturers </t>
  </si>
  <si>
    <t>Online Discussions Forums</t>
  </si>
  <si>
    <t>Reading Materials</t>
  </si>
  <si>
    <t>Interactive Activities</t>
  </si>
  <si>
    <t>Past papers questions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</si>
</sst>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" fontId="0" fillId="0" borderId="0" xfId="0" applyNumberFormat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Question6!$B$1</c:f>
              <c:strCache>
                <c:ptCount val="1"/>
                <c:pt idx="0">
                  <c:v>Students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Question6!$A$2:$A$6</c:f>
              <c:strCache>
                <c:ptCount val="5"/>
                <c:pt idx="0">
                  <c:v>Video Lecturers </c:v>
                </c:pt>
                <c:pt idx="1">
                  <c:v>Online Discussions Forums</c:v>
                </c:pt>
                <c:pt idx="2">
                  <c:v>Reading Materials</c:v>
                </c:pt>
                <c:pt idx="3">
                  <c:v>Interactive Activities</c:v>
                </c:pt>
                <c:pt idx="4">
                  <c:v>Past papers questions</c:v>
                </c:pt>
              </c:strCache>
            </c:strRef>
          </c:cat>
          <c:val>
            <c:numRef>
              <c:f>Question6!$B$2:$B$6</c:f>
              <c:numCache>
                <c:formatCode>General</c:formatCode>
                <c:ptCount val="5"/>
                <c:pt idx="0">
                  <c:v>40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Question6!$C$1</c:f>
              <c:strCache>
                <c:ptCount val="1"/>
                <c:pt idx="0">
                  <c:v>% of Students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Question6!$A$2:$A$6</c:f>
              <c:strCache>
                <c:ptCount val="5"/>
                <c:pt idx="0">
                  <c:v>Video Lecturers </c:v>
                </c:pt>
                <c:pt idx="1">
                  <c:v>Online Discussions Forums</c:v>
                </c:pt>
                <c:pt idx="2">
                  <c:v>Reading Materials</c:v>
                </c:pt>
                <c:pt idx="3">
                  <c:v>Interactive Activities</c:v>
                </c:pt>
                <c:pt idx="4">
                  <c:v>Past papers questions</c:v>
                </c:pt>
              </c:strCache>
            </c:strRef>
          </c:cat>
          <c:val>
            <c:numRef>
              <c:f>Question6!$C$2:$C$6</c:f>
              <c:numCache>
                <c:formatCode>0.00</c:formatCode>
                <c:ptCount val="5"/>
                <c:pt idx="0">
                  <c:v>36.3636363636364</c:v>
                </c:pt>
                <c:pt idx="1">
                  <c:v>22.7272727272727</c:v>
                </c:pt>
                <c:pt idx="2">
                  <c:v>18.1818181818182</c:v>
                </c:pt>
                <c:pt idx="3">
                  <c:v>13.6363636363636</c:v>
                </c:pt>
                <c:pt idx="4">
                  <c:v>9.09090909090909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668ca7-b4c7-4b4d-a8ab-9cec218935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47625</xdr:colOff>
      <xdr:row>0</xdr:row>
      <xdr:rowOff>76200</xdr:rowOff>
    </xdr:from>
    <xdr:to>
      <xdr:col>8</xdr:col>
      <xdr:colOff>371475</xdr:colOff>
      <xdr:row>13</xdr:row>
      <xdr:rowOff>142875</xdr:rowOff>
    </xdr:to>
    <xdr:graphicFrame>
      <xdr:nvGraphicFramePr>
        <xdr:cNvPr id="2" name="Chart 1"/>
        <xdr:cNvGraphicFramePr/>
      </xdr:nvGraphicFramePr>
      <xdr:xfrm>
        <a:off x="3200400" y="76200"/>
        <a:ext cx="3324225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opLeftCell="A3" workbookViewId="0">
      <selection activeCell="F8" sqref="F8"/>
    </sheetView>
  </sheetViews>
  <sheetFormatPr defaultColWidth="9" defaultRowHeight="15" outlineLevelCol="5"/>
  <cols>
    <col min="1" max="1" width="16.1428571428571" customWidth="1"/>
    <col min="2" max="2" width="10" customWidth="1"/>
    <col min="3" max="3" width="10.7142857142857" customWidth="1"/>
    <col min="4" max="4" width="11.2857142857143" customWidth="1"/>
    <col min="5" max="5" width="12.7142857142857" customWidth="1"/>
    <col min="6" max="6" width="17.2857142857143" customWidth="1"/>
    <col min="7" max="7" width="24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1800</v>
      </c>
      <c r="C2">
        <f t="shared" ref="C2:C9" si="0">B2*0.2</f>
        <v>360</v>
      </c>
      <c r="D2">
        <f t="shared" ref="D2:D9" si="1">B2+C2</f>
        <v>2160</v>
      </c>
      <c r="E2">
        <v>75</v>
      </c>
      <c r="F2">
        <f>C2*E2</f>
        <v>27000</v>
      </c>
    </row>
    <row r="3" spans="1:6">
      <c r="A3" t="s">
        <v>7</v>
      </c>
      <c r="B3">
        <v>3500</v>
      </c>
      <c r="C3">
        <f t="shared" si="0"/>
        <v>700</v>
      </c>
      <c r="D3">
        <f t="shared" si="1"/>
        <v>4200</v>
      </c>
      <c r="E3">
        <v>40</v>
      </c>
      <c r="F3">
        <f>C3*E3</f>
        <v>28000</v>
      </c>
    </row>
    <row r="4" spans="1:6">
      <c r="A4" t="s">
        <v>8</v>
      </c>
      <c r="B4">
        <v>2200</v>
      </c>
      <c r="C4">
        <f t="shared" si="0"/>
        <v>440</v>
      </c>
      <c r="D4">
        <f t="shared" si="1"/>
        <v>2640</v>
      </c>
      <c r="E4">
        <v>55</v>
      </c>
      <c r="F4">
        <f>C4*E4</f>
        <v>24200</v>
      </c>
    </row>
    <row r="5" spans="1:6">
      <c r="A5" t="s">
        <v>9</v>
      </c>
      <c r="B5">
        <v>2750</v>
      </c>
      <c r="C5">
        <f t="shared" si="0"/>
        <v>550</v>
      </c>
      <c r="D5">
        <f t="shared" si="1"/>
        <v>3300</v>
      </c>
      <c r="E5">
        <v>30</v>
      </c>
      <c r="F5">
        <f>C5*E5</f>
        <v>16500</v>
      </c>
    </row>
    <row r="6" spans="1:6">
      <c r="A6" t="s">
        <v>10</v>
      </c>
      <c r="B6">
        <v>6500</v>
      </c>
      <c r="C6">
        <f t="shared" si="0"/>
        <v>1300</v>
      </c>
      <c r="D6">
        <f t="shared" si="1"/>
        <v>7800</v>
      </c>
      <c r="E6">
        <v>15</v>
      </c>
      <c r="F6">
        <f>C6*E6</f>
        <v>19500</v>
      </c>
    </row>
    <row r="7" spans="1:6">
      <c r="A7" t="s">
        <v>11</v>
      </c>
      <c r="B7">
        <v>950</v>
      </c>
      <c r="C7">
        <f t="shared" si="0"/>
        <v>190</v>
      </c>
      <c r="D7">
        <f t="shared" si="1"/>
        <v>1140</v>
      </c>
      <c r="E7">
        <v>90</v>
      </c>
      <c r="F7">
        <v>17100</v>
      </c>
    </row>
    <row r="8" spans="1:6">
      <c r="A8" t="s">
        <v>12</v>
      </c>
      <c r="B8">
        <v>1400</v>
      </c>
      <c r="C8">
        <f t="shared" si="0"/>
        <v>280</v>
      </c>
      <c r="D8">
        <f t="shared" si="1"/>
        <v>1680</v>
      </c>
      <c r="E8">
        <v>60</v>
      </c>
      <c r="F8">
        <f>C8*E8</f>
        <v>16800</v>
      </c>
    </row>
    <row r="9" spans="1:6">
      <c r="A9" t="s">
        <v>13</v>
      </c>
      <c r="B9">
        <v>1100</v>
      </c>
      <c r="C9">
        <f t="shared" si="0"/>
        <v>220</v>
      </c>
      <c r="D9">
        <f t="shared" si="1"/>
        <v>1320</v>
      </c>
      <c r="E9">
        <v>45</v>
      </c>
      <c r="F9">
        <f>C9*E9</f>
        <v>9900</v>
      </c>
    </row>
    <row r="10" spans="6:6">
      <c r="F10" t="s">
        <v>14</v>
      </c>
    </row>
    <row r="11" spans="6:6">
      <c r="F11">
        <f>F2+F3+F4+F5+F6+F7+F8+F9</f>
        <v>159000</v>
      </c>
    </row>
  </sheetData>
  <printOptions headings="1" gridLines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3" sqref="E3"/>
    </sheetView>
  </sheetViews>
  <sheetFormatPr defaultColWidth="9" defaultRowHeight="15" outlineLevelCol="5"/>
  <cols>
    <col min="1" max="1" width="14.7142857142857" customWidth="1"/>
    <col min="3" max="3" width="12.5714285714286" customWidth="1"/>
    <col min="4" max="4" width="9.57142857142857" customWidth="1"/>
    <col min="5" max="5" width="10.7142857142857" customWidth="1"/>
    <col min="6" max="6" width="9.28571428571429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t="s">
        <v>20</v>
      </c>
      <c r="B2">
        <v>50</v>
      </c>
      <c r="C2">
        <v>12</v>
      </c>
      <c r="D2">
        <f t="shared" ref="D2:D11" si="0">B2*C2</f>
        <v>600</v>
      </c>
      <c r="E2">
        <f t="shared" ref="E2:E11" si="1">D2*0.15</f>
        <v>90</v>
      </c>
      <c r="F2">
        <f t="shared" ref="F2:F11" si="2">D2+E2</f>
        <v>690</v>
      </c>
    </row>
    <row r="3" spans="1:6">
      <c r="A3" t="s">
        <v>21</v>
      </c>
      <c r="B3">
        <v>30</v>
      </c>
      <c r="C3">
        <v>45</v>
      </c>
      <c r="D3">
        <f t="shared" si="0"/>
        <v>1350</v>
      </c>
      <c r="E3">
        <f t="shared" si="1"/>
        <v>202.5</v>
      </c>
      <c r="F3">
        <f t="shared" si="2"/>
        <v>1552.5</v>
      </c>
    </row>
    <row r="4" spans="1:6">
      <c r="A4" t="s">
        <v>22</v>
      </c>
      <c r="B4">
        <v>25</v>
      </c>
      <c r="C4">
        <v>20</v>
      </c>
      <c r="D4">
        <f t="shared" si="0"/>
        <v>500</v>
      </c>
      <c r="E4">
        <f t="shared" si="1"/>
        <v>75</v>
      </c>
      <c r="F4">
        <f t="shared" si="2"/>
        <v>575</v>
      </c>
    </row>
    <row r="5" spans="1:6">
      <c r="A5" t="s">
        <v>23</v>
      </c>
      <c r="B5">
        <v>10</v>
      </c>
      <c r="C5">
        <v>150</v>
      </c>
      <c r="D5">
        <f t="shared" si="0"/>
        <v>1500</v>
      </c>
      <c r="E5">
        <f t="shared" si="1"/>
        <v>225</v>
      </c>
      <c r="F5">
        <f t="shared" si="2"/>
        <v>1725</v>
      </c>
    </row>
    <row r="6" spans="1:6">
      <c r="A6" t="s">
        <v>24</v>
      </c>
      <c r="B6">
        <v>40</v>
      </c>
      <c r="C6">
        <v>15</v>
      </c>
      <c r="D6">
        <f t="shared" si="0"/>
        <v>600</v>
      </c>
      <c r="E6">
        <f t="shared" si="1"/>
        <v>90</v>
      </c>
      <c r="F6">
        <f t="shared" si="2"/>
        <v>690</v>
      </c>
    </row>
    <row r="7" spans="1:6">
      <c r="A7" t="s">
        <v>25</v>
      </c>
      <c r="B7">
        <v>20</v>
      </c>
      <c r="C7">
        <v>85</v>
      </c>
      <c r="D7">
        <f t="shared" si="0"/>
        <v>1700</v>
      </c>
      <c r="E7">
        <f t="shared" si="1"/>
        <v>255</v>
      </c>
      <c r="F7">
        <f t="shared" si="2"/>
        <v>1955</v>
      </c>
    </row>
    <row r="8" spans="1:6">
      <c r="A8" t="s">
        <v>26</v>
      </c>
      <c r="B8">
        <v>35</v>
      </c>
      <c r="C8">
        <v>18</v>
      </c>
      <c r="D8">
        <f t="shared" si="0"/>
        <v>630</v>
      </c>
      <c r="E8">
        <f t="shared" si="1"/>
        <v>94.5</v>
      </c>
      <c r="F8">
        <f t="shared" si="2"/>
        <v>724.5</v>
      </c>
    </row>
    <row r="9" spans="1:6">
      <c r="A9" t="s">
        <v>27</v>
      </c>
      <c r="B9">
        <v>15</v>
      </c>
      <c r="C9">
        <v>25</v>
      </c>
      <c r="D9">
        <f t="shared" si="0"/>
        <v>375</v>
      </c>
      <c r="E9">
        <f t="shared" si="1"/>
        <v>56.25</v>
      </c>
      <c r="F9">
        <f t="shared" si="2"/>
        <v>431.25</v>
      </c>
    </row>
    <row r="10" spans="1:6">
      <c r="A10" t="s">
        <v>28</v>
      </c>
      <c r="B10">
        <v>50</v>
      </c>
      <c r="C10">
        <v>10</v>
      </c>
      <c r="D10">
        <f t="shared" si="0"/>
        <v>500</v>
      </c>
      <c r="E10">
        <f t="shared" si="1"/>
        <v>75</v>
      </c>
      <c r="F10">
        <f t="shared" si="2"/>
        <v>575</v>
      </c>
    </row>
    <row r="11" spans="1:6">
      <c r="A11" t="s">
        <v>29</v>
      </c>
      <c r="B11">
        <v>20</v>
      </c>
      <c r="C11">
        <v>60</v>
      </c>
      <c r="D11">
        <f t="shared" si="0"/>
        <v>1200</v>
      </c>
      <c r="E11">
        <f t="shared" si="1"/>
        <v>180</v>
      </c>
      <c r="F11">
        <f t="shared" si="2"/>
        <v>1380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15" sqref="F15"/>
    </sheetView>
  </sheetViews>
  <sheetFormatPr defaultColWidth="9" defaultRowHeight="15" outlineLevelCol="7"/>
  <cols>
    <col min="1" max="1" width="10.7142857142857" customWidth="1"/>
    <col min="2" max="2" width="28.1428571428571" customWidth="1"/>
    <col min="3" max="3" width="12" customWidth="1"/>
    <col min="6" max="6" width="11.4285714285714" customWidth="1"/>
    <col min="7" max="7" width="11.1428571428571" customWidth="1"/>
    <col min="8" max="8" width="14.8571428571429" customWidth="1"/>
  </cols>
  <sheetData>
    <row r="1" spans="1:8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>
      <c r="A2">
        <v>5002</v>
      </c>
      <c r="B2" t="s">
        <v>38</v>
      </c>
      <c r="C2">
        <v>85</v>
      </c>
      <c r="D2">
        <v>75</v>
      </c>
      <c r="E2">
        <v>60</v>
      </c>
      <c r="F2">
        <v>35</v>
      </c>
      <c r="G2">
        <f t="shared" ref="G2:G11" si="0">C2+D2+E2+F2</f>
        <v>255</v>
      </c>
      <c r="H2">
        <f t="shared" ref="H2:H11" si="1">(C2+D2+E2+F2)/4</f>
        <v>63.75</v>
      </c>
    </row>
    <row r="3" spans="1:8">
      <c r="A3">
        <v>5008</v>
      </c>
      <c r="B3" t="s">
        <v>39</v>
      </c>
      <c r="C3">
        <v>100</v>
      </c>
      <c r="D3">
        <v>78</v>
      </c>
      <c r="E3">
        <v>85</v>
      </c>
      <c r="F3">
        <v>79</v>
      </c>
      <c r="G3">
        <f t="shared" si="0"/>
        <v>342</v>
      </c>
      <c r="H3">
        <f t="shared" si="1"/>
        <v>85.5</v>
      </c>
    </row>
    <row r="4" spans="1:8">
      <c r="A4">
        <v>5003</v>
      </c>
      <c r="B4" t="s">
        <v>40</v>
      </c>
      <c r="C4">
        <v>88</v>
      </c>
      <c r="D4">
        <v>72</v>
      </c>
      <c r="E4">
        <v>75</v>
      </c>
      <c r="F4">
        <v>44</v>
      </c>
      <c r="G4">
        <f t="shared" si="0"/>
        <v>279</v>
      </c>
      <c r="H4">
        <f t="shared" si="1"/>
        <v>69.75</v>
      </c>
    </row>
    <row r="5" spans="1:8">
      <c r="A5">
        <v>5006</v>
      </c>
      <c r="B5" t="s">
        <v>41</v>
      </c>
      <c r="C5">
        <v>90</v>
      </c>
      <c r="D5">
        <v>95</v>
      </c>
      <c r="E5">
        <v>80</v>
      </c>
      <c r="F5">
        <v>92</v>
      </c>
      <c r="G5">
        <f t="shared" si="0"/>
        <v>357</v>
      </c>
      <c r="H5">
        <f t="shared" si="1"/>
        <v>89.25</v>
      </c>
    </row>
    <row r="6" spans="1:8">
      <c r="A6">
        <v>5001</v>
      </c>
      <c r="B6" t="s">
        <v>42</v>
      </c>
      <c r="C6">
        <v>95</v>
      </c>
      <c r="D6">
        <v>82</v>
      </c>
      <c r="E6">
        <v>99</v>
      </c>
      <c r="F6">
        <v>88</v>
      </c>
      <c r="G6">
        <f t="shared" si="0"/>
        <v>364</v>
      </c>
      <c r="H6">
        <f t="shared" si="1"/>
        <v>91</v>
      </c>
    </row>
    <row r="7" spans="1:8">
      <c r="A7">
        <v>5007</v>
      </c>
      <c r="B7" t="s">
        <v>43</v>
      </c>
      <c r="C7">
        <v>33</v>
      </c>
      <c r="D7">
        <v>67</v>
      </c>
      <c r="E7">
        <v>54</v>
      </c>
      <c r="F7">
        <v>77</v>
      </c>
      <c r="G7">
        <f t="shared" si="0"/>
        <v>231</v>
      </c>
      <c r="H7">
        <f t="shared" si="1"/>
        <v>57.75</v>
      </c>
    </row>
    <row r="8" spans="1:8">
      <c r="A8">
        <v>5005</v>
      </c>
      <c r="B8" t="s">
        <v>44</v>
      </c>
      <c r="C8">
        <v>89</v>
      </c>
      <c r="D8">
        <v>90</v>
      </c>
      <c r="E8">
        <v>45</v>
      </c>
      <c r="F8">
        <v>82</v>
      </c>
      <c r="G8">
        <f t="shared" si="0"/>
        <v>306</v>
      </c>
      <c r="H8">
        <f t="shared" si="1"/>
        <v>76.5</v>
      </c>
    </row>
    <row r="9" spans="1:8">
      <c r="A9">
        <v>5004</v>
      </c>
      <c r="B9" t="s">
        <v>45</v>
      </c>
      <c r="C9">
        <v>55</v>
      </c>
      <c r="D9">
        <v>44</v>
      </c>
      <c r="E9">
        <v>67</v>
      </c>
      <c r="F9">
        <v>91</v>
      </c>
      <c r="G9">
        <f t="shared" si="0"/>
        <v>257</v>
      </c>
      <c r="H9">
        <f t="shared" si="1"/>
        <v>64.25</v>
      </c>
    </row>
    <row r="10" spans="1:8">
      <c r="A10">
        <v>5009</v>
      </c>
      <c r="B10" t="s">
        <v>46</v>
      </c>
      <c r="C10">
        <v>51</v>
      </c>
      <c r="D10">
        <v>55</v>
      </c>
      <c r="E10">
        <v>69</v>
      </c>
      <c r="F10">
        <v>85</v>
      </c>
      <c r="G10">
        <f t="shared" si="0"/>
        <v>260</v>
      </c>
      <c r="H10">
        <f t="shared" si="1"/>
        <v>65</v>
      </c>
    </row>
    <row r="11" spans="1:8">
      <c r="A11">
        <v>5010</v>
      </c>
      <c r="B11" t="s">
        <v>47</v>
      </c>
      <c r="C11">
        <v>23</v>
      </c>
      <c r="D11">
        <v>41</v>
      </c>
      <c r="E11">
        <v>70</v>
      </c>
      <c r="F11">
        <v>52</v>
      </c>
      <c r="G11">
        <f t="shared" si="0"/>
        <v>186</v>
      </c>
      <c r="H11">
        <f t="shared" si="1"/>
        <v>46.5</v>
      </c>
    </row>
    <row r="12" spans="2:6">
      <c r="B12" t="s">
        <v>48</v>
      </c>
      <c r="C12">
        <f>MAX(C2:C11)</f>
        <v>100</v>
      </c>
      <c r="D12">
        <f>MAX(D2:D11)</f>
        <v>95</v>
      </c>
      <c r="E12">
        <f>MAX(E2:E11)</f>
        <v>99</v>
      </c>
      <c r="F12">
        <f>MAX(F2:F11)</f>
        <v>92</v>
      </c>
    </row>
    <row r="13" spans="2:6">
      <c r="B13" t="s">
        <v>49</v>
      </c>
      <c r="C13">
        <f>MIN(C2:C11)</f>
        <v>23</v>
      </c>
      <c r="D13">
        <f>MIN(D2:D11)</f>
        <v>41</v>
      </c>
      <c r="E13">
        <f>MIN(E2:E11)</f>
        <v>45</v>
      </c>
      <c r="F13">
        <f>MIN(F2:F11)</f>
        <v>35</v>
      </c>
    </row>
    <row r="14" spans="2:6">
      <c r="B14" t="s">
        <v>50</v>
      </c>
      <c r="C14">
        <f>AVERAGE(C2:C11)</f>
        <v>70.9</v>
      </c>
      <c r="D14">
        <f>AVERAGE(D2:D11)</f>
        <v>69.9</v>
      </c>
      <c r="E14">
        <f>AVERAGE(E2:E11)</f>
        <v>70.4</v>
      </c>
      <c r="F14">
        <f>AVERAGE(F2:F11)</f>
        <v>72.5</v>
      </c>
    </row>
    <row r="15" spans="2:6">
      <c r="B15" t="s">
        <v>51</v>
      </c>
      <c r="C15" s="1">
        <f>STDEV(C1:C11)</f>
        <v>27.870534021914</v>
      </c>
      <c r="D15" s="1">
        <f>STDEV(D2:D11)</f>
        <v>18.2966299264828</v>
      </c>
      <c r="E15" s="1">
        <f>STDEV(E2:E11)</f>
        <v>15.5649178175365</v>
      </c>
      <c r="F15" s="1">
        <f>STDEV(F2:F11)</f>
        <v>20.8446635856758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F4" sqref="F4"/>
    </sheetView>
  </sheetViews>
  <sheetFormatPr defaultColWidth="9" defaultRowHeight="15" outlineLevelRow="5" outlineLevelCol="6"/>
  <cols>
    <col min="1" max="1" width="25.2857142857143" customWidth="1"/>
    <col min="2" max="2" width="13.4285714285714" customWidth="1"/>
    <col min="3" max="3" width="15.4285714285714" customWidth="1"/>
    <col min="4" max="5" width="17.1428571428571" customWidth="1"/>
  </cols>
  <sheetData>
    <row r="1" spans="1:7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>
      <c r="A2" t="s">
        <v>59</v>
      </c>
      <c r="B2">
        <v>120</v>
      </c>
      <c r="C2">
        <v>80</v>
      </c>
      <c r="D2">
        <f>B2/C2</f>
        <v>1.5</v>
      </c>
      <c r="E2" s="1">
        <f>C2/B2</f>
        <v>0.666666666666667</v>
      </c>
      <c r="F2">
        <f>B2/(B2+C2)</f>
        <v>0.6</v>
      </c>
      <c r="G2">
        <f>C2/(B2+C2)</f>
        <v>0.4</v>
      </c>
    </row>
    <row r="3" spans="1:7">
      <c r="A3" t="s">
        <v>60</v>
      </c>
      <c r="B3">
        <v>90</v>
      </c>
      <c r="C3">
        <v>110</v>
      </c>
      <c r="D3" s="1">
        <f>B3/C3</f>
        <v>0.818181818181818</v>
      </c>
      <c r="E3" s="1">
        <f>C3/B3</f>
        <v>1.22222222222222</v>
      </c>
      <c r="F3">
        <f>B3/(B3+C3)</f>
        <v>0.45</v>
      </c>
      <c r="G3">
        <f>C3/(B3+C3)</f>
        <v>0.55</v>
      </c>
    </row>
    <row r="4" spans="1:7">
      <c r="A4" t="s">
        <v>61</v>
      </c>
      <c r="B4">
        <v>60</v>
      </c>
      <c r="C4">
        <v>140</v>
      </c>
      <c r="D4" s="1">
        <f>B4/C4</f>
        <v>0.428571428571429</v>
      </c>
      <c r="E4" s="1">
        <f>C4/B4</f>
        <v>2.33333333333333</v>
      </c>
      <c r="F4" s="1">
        <f>B4/(B4+C4)</f>
        <v>0.3</v>
      </c>
      <c r="G4">
        <f>C4/(B4+C4)</f>
        <v>0.7</v>
      </c>
    </row>
    <row r="5" spans="1:7">
      <c r="A5" t="s">
        <v>62</v>
      </c>
      <c r="B5">
        <v>130</v>
      </c>
      <c r="C5">
        <v>70</v>
      </c>
      <c r="D5" s="1">
        <f>B5/C5</f>
        <v>1.85714285714286</v>
      </c>
      <c r="E5" s="1">
        <f>C5/B5</f>
        <v>0.538461538461538</v>
      </c>
      <c r="F5">
        <f>B5/(B5+C5)</f>
        <v>0.65</v>
      </c>
      <c r="G5">
        <f>C5/(B5+C5)</f>
        <v>0.35</v>
      </c>
    </row>
    <row r="6" spans="1:7">
      <c r="A6" t="s">
        <v>63</v>
      </c>
      <c r="B6">
        <v>50</v>
      </c>
      <c r="C6">
        <v>150</v>
      </c>
      <c r="D6" s="1">
        <f>B6/C6</f>
        <v>0.333333333333333</v>
      </c>
      <c r="E6">
        <f>C6/B6</f>
        <v>3</v>
      </c>
      <c r="F6">
        <f>B6/(B6+C6)</f>
        <v>0.25</v>
      </c>
      <c r="G6">
        <f>C6/(B6+C6)</f>
        <v>0.75</v>
      </c>
    </row>
  </sheetData>
  <printOptions gridLine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2" sqref="A2"/>
    </sheetView>
  </sheetViews>
  <sheetFormatPr defaultColWidth="9" defaultRowHeight="15" outlineLevelRow="5" outlineLevelCol="6"/>
  <cols>
    <col min="1" max="1" width="16.1428571428571" customWidth="1"/>
    <col min="2" max="2" width="12.4285714285714" customWidth="1"/>
    <col min="3" max="3" width="11.2857142857143" customWidth="1"/>
    <col min="4" max="4" width="16" customWidth="1"/>
    <col min="5" max="5" width="24.1428571428571" customWidth="1"/>
    <col min="6" max="6" width="12.7142857142857" customWidth="1"/>
    <col min="7" max="7" width="13.2857142857143" customWidth="1"/>
  </cols>
  <sheetData>
    <row r="1" spans="1:7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4</v>
      </c>
      <c r="G1" t="s">
        <v>68</v>
      </c>
    </row>
    <row r="2" spans="1:7">
      <c r="A2" t="s">
        <v>6</v>
      </c>
      <c r="B2">
        <v>1800</v>
      </c>
      <c r="C2" s="2">
        <v>0.1</v>
      </c>
      <c r="D2">
        <f>B2*C2</f>
        <v>180</v>
      </c>
      <c r="E2">
        <f>B2-D2</f>
        <v>1620</v>
      </c>
      <c r="F2">
        <v>25</v>
      </c>
      <c r="G2">
        <f>E2*F2</f>
        <v>40500</v>
      </c>
    </row>
    <row r="3" spans="1:7">
      <c r="A3" t="s">
        <v>7</v>
      </c>
      <c r="B3">
        <v>3500</v>
      </c>
      <c r="C3" s="2">
        <f>D3/B3</f>
        <v>0.2</v>
      </c>
      <c r="D3">
        <v>700</v>
      </c>
      <c r="E3">
        <f>B3-D3</f>
        <v>2800</v>
      </c>
      <c r="F3">
        <v>15</v>
      </c>
      <c r="G3">
        <f>E3*F3</f>
        <v>42000</v>
      </c>
    </row>
    <row r="4" spans="1:7">
      <c r="A4" t="s">
        <v>8</v>
      </c>
      <c r="B4">
        <f>D4/C3</f>
        <v>2200</v>
      </c>
      <c r="C4" s="2">
        <v>0.2</v>
      </c>
      <c r="D4">
        <v>440</v>
      </c>
      <c r="E4">
        <f>B4-D4</f>
        <v>1760</v>
      </c>
      <c r="F4">
        <v>20</v>
      </c>
      <c r="G4">
        <f>E4*F4</f>
        <v>35200</v>
      </c>
    </row>
    <row r="5" spans="1:7">
      <c r="A5" t="s">
        <v>69</v>
      </c>
      <c r="B5">
        <v>2750</v>
      </c>
      <c r="C5" s="2">
        <v>0.15</v>
      </c>
      <c r="D5">
        <f>B5*C5</f>
        <v>412.5</v>
      </c>
      <c r="E5">
        <f>B5-D5</f>
        <v>2337.5</v>
      </c>
      <c r="F5">
        <v>10</v>
      </c>
      <c r="G5">
        <f>E5*F5</f>
        <v>23375</v>
      </c>
    </row>
    <row r="6" spans="1:7">
      <c r="A6" t="s">
        <v>10</v>
      </c>
      <c r="B6">
        <v>6500</v>
      </c>
      <c r="C6" s="2">
        <v>0.25</v>
      </c>
      <c r="D6">
        <f>B6*C6</f>
        <v>1625</v>
      </c>
      <c r="E6">
        <f>B6-D6</f>
        <v>4875</v>
      </c>
      <c r="F6">
        <v>8</v>
      </c>
      <c r="G6">
        <f>E6*F6</f>
        <v>39000</v>
      </c>
    </row>
  </sheetData>
  <printOptions gridLines="1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5" outlineLevelRow="5" outlineLevelCol="2"/>
  <cols>
    <col min="1" max="1" width="24" customWidth="1"/>
    <col min="3" max="3" width="14.2857142857143" customWidth="1"/>
  </cols>
  <sheetData>
    <row r="1" spans="1:3">
      <c r="A1" t="s">
        <v>70</v>
      </c>
      <c r="B1" t="s">
        <v>71</v>
      </c>
      <c r="C1" t="s">
        <v>72</v>
      </c>
    </row>
    <row r="2" spans="1:3">
      <c r="A2" t="s">
        <v>73</v>
      </c>
      <c r="B2">
        <v>40</v>
      </c>
      <c r="C2" s="1">
        <f>B2/SUM($B$2:$B$6)*100</f>
        <v>36.3636363636364</v>
      </c>
    </row>
    <row r="3" spans="1:3">
      <c r="A3" t="s">
        <v>74</v>
      </c>
      <c r="B3">
        <v>25</v>
      </c>
      <c r="C3" s="1">
        <f>B3/SUM($B$2:$B$6)*100</f>
        <v>22.7272727272727</v>
      </c>
    </row>
    <row r="4" spans="1:3">
      <c r="A4" t="s">
        <v>75</v>
      </c>
      <c r="B4">
        <v>20</v>
      </c>
      <c r="C4" s="1">
        <f>B4/SUM($B$2:$B$6)*100</f>
        <v>18.1818181818182</v>
      </c>
    </row>
    <row r="5" spans="1:3">
      <c r="A5" t="s">
        <v>76</v>
      </c>
      <c r="B5">
        <v>15</v>
      </c>
      <c r="C5" s="1">
        <f>B5/SUM($B$2:$B$6)*100</f>
        <v>13.6363636363636</v>
      </c>
    </row>
    <row r="6" spans="1:3">
      <c r="A6" t="s">
        <v>77</v>
      </c>
      <c r="B6">
        <v>10</v>
      </c>
      <c r="C6" s="1">
        <f>B6/SUM($B$2:$B$6)*100</f>
        <v>9.09090909090909</v>
      </c>
    </row>
  </sheetData>
  <printOptions gridLines="1"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Question1</vt:lpstr>
      <vt:lpstr>Question2</vt:lpstr>
      <vt:lpstr>Question3</vt:lpstr>
      <vt:lpstr>Question4</vt:lpstr>
      <vt:lpstr>Question5</vt:lpstr>
      <vt:lpstr>Question6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flavier</cp:lastModifiedBy>
  <dcterms:created xsi:type="dcterms:W3CDTF">2026-05-18T12:48:00Z</dcterms:created>
  <dcterms:modified xsi:type="dcterms:W3CDTF">2026-05-19T13:39:38Z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4124FC66236F4E13B790E886B2D73F4A_13</vt:lpwstr>
  </property>
  <property fmtid="{D5CDD505-2E9C-101B-9397-08002B2CF9AE}" pid="3" name="KSOProductBuildVer">
    <vt:lpwstr>1033-12.9.0.21555</vt:lpwstr>
  </property>
</Properties>
</file>